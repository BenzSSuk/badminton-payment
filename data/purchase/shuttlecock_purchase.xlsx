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badminton-payment\data\purchase\"/>
    </mc:Choice>
  </mc:AlternateContent>
  <xr:revisionPtr revIDLastSave="0" documentId="13_ncr:1_{D4D5F0CC-D252-4C62-88B3-0B0D4D243F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uttlecock_buy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I21" i="1"/>
  <c r="H21" i="1"/>
  <c r="H20" i="1"/>
  <c r="I20" i="1"/>
  <c r="G20" i="1"/>
  <c r="H2" i="2"/>
  <c r="G2" i="2"/>
  <c r="I2" i="2" s="1"/>
  <c r="G19" i="1"/>
  <c r="I19" i="1" s="1"/>
  <c r="H19" i="1"/>
  <c r="H18" i="1"/>
  <c r="G18" i="1"/>
  <c r="I18" i="1" s="1"/>
  <c r="H17" i="1"/>
  <c r="G17" i="1"/>
  <c r="I17" i="1" s="1"/>
  <c r="G16" i="1" l="1"/>
  <c r="I16" i="1"/>
  <c r="H16" i="1"/>
  <c r="G15" i="1"/>
  <c r="I15" i="1" s="1"/>
  <c r="H15" i="1"/>
  <c r="H14" i="1"/>
  <c r="G14" i="1"/>
  <c r="I14" i="1" s="1"/>
  <c r="I5" i="1"/>
  <c r="I6" i="1"/>
  <c r="H3" i="1"/>
  <c r="H4" i="1"/>
  <c r="H5" i="1"/>
  <c r="H6" i="1"/>
  <c r="H7" i="1"/>
  <c r="I7" i="1" s="1"/>
  <c r="H8" i="1"/>
  <c r="H9" i="1"/>
  <c r="H10" i="1"/>
  <c r="H11" i="1"/>
  <c r="H12" i="1"/>
  <c r="H13" i="1"/>
  <c r="I13" i="1" s="1"/>
  <c r="H2" i="1"/>
  <c r="G3" i="1"/>
  <c r="I3" i="1" s="1"/>
  <c r="G4" i="1"/>
  <c r="I4" i="1" s="1"/>
  <c r="G5" i="1"/>
  <c r="G6" i="1"/>
  <c r="G7" i="1"/>
  <c r="G8" i="1"/>
  <c r="G9" i="1"/>
  <c r="G10" i="1"/>
  <c r="G11" i="1"/>
  <c r="G12" i="1"/>
  <c r="G13" i="1"/>
  <c r="G2" i="1"/>
  <c r="I2" i="1" s="1"/>
  <c r="I12" i="1" l="1"/>
  <c r="I11" i="1"/>
  <c r="I10" i="1"/>
  <c r="I9" i="1"/>
  <c r="I8" i="1"/>
</calcChain>
</file>

<file path=xl/sharedStrings.xml><?xml version="1.0" encoding="utf-8"?>
<sst xmlns="http://schemas.openxmlformats.org/spreadsheetml/2006/main" count="30" uniqueCount="16">
  <si>
    <t>index</t>
  </si>
  <si>
    <t>date_buy</t>
  </si>
  <si>
    <t>brand</t>
  </si>
  <si>
    <t>price_rod</t>
  </si>
  <si>
    <t>n_rod</t>
  </si>
  <si>
    <t>deliverly_fee</t>
  </si>
  <si>
    <t>total</t>
  </si>
  <si>
    <t>n</t>
  </si>
  <si>
    <t>price_single</t>
  </si>
  <si>
    <t>rsl silver</t>
  </si>
  <si>
    <t>lingmei 90 pro</t>
  </si>
  <si>
    <t>lingmei 80</t>
  </si>
  <si>
    <t>Bullet tournament 76</t>
  </si>
  <si>
    <t>RSL Gold</t>
  </si>
  <si>
    <t>Yonex AS-10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</si>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</sst>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selection activeCell="G21" sqref="G21"/>
    </sheetView>
  </sheetViews>
  <sheetFormatPr defaultColWidth="8.85546875" defaultRowHeight="15" x14ac:dyDescent="0.25"/>
  <cols>
    <col min="1" max="1" width="7" customWidth="1"/>
    <col min="2" max="2" width="11.42578125" customWidth="1"/>
    <col min="3" max="3" width="20" customWidth="1"/>
    <col min="4" max="4" width="10.28515625" customWidth="1"/>
    <col min="6" max="6" width="14.42578125" customWidth="1"/>
    <col min="7" max="7" width="7.85546875" customWidth="1"/>
    <col min="8" max="8" width="6.28515625" customWidth="1"/>
    <col min="9" max="9" width="12.42578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</v>
      </c>
      <c r="B2" s="1">
        <v>44937</v>
      </c>
      <c r="C2" t="s">
        <v>9</v>
      </c>
      <c r="D2">
        <v>770</v>
      </c>
      <c r="E2">
        <v>3</v>
      </c>
      <c r="F2">
        <v>100</v>
      </c>
      <c r="G2">
        <f>D2*E2+F2</f>
        <v>2410</v>
      </c>
      <c r="H2">
        <f>E2*12</f>
        <v>36</v>
      </c>
      <c r="I2">
        <f>ROUNDUP(G2/H2,0)</f>
        <v>67</v>
      </c>
    </row>
    <row r="3" spans="1:9" x14ac:dyDescent="0.25">
      <c r="A3">
        <v>2</v>
      </c>
      <c r="B3" s="1">
        <v>44977</v>
      </c>
      <c r="C3" t="s">
        <v>10</v>
      </c>
      <c r="D3">
        <v>695</v>
      </c>
      <c r="E3">
        <v>2</v>
      </c>
      <c r="F3">
        <v>100</v>
      </c>
      <c r="G3">
        <f t="shared" ref="G3:G13" si="0">D3*E3+F3</f>
        <v>1490</v>
      </c>
      <c r="H3">
        <f t="shared" ref="H3:H13" si="1">E3*12</f>
        <v>24</v>
      </c>
      <c r="I3">
        <f t="shared" ref="I3:I13" si="2">ROUNDUP(G3/H3,0)</f>
        <v>63</v>
      </c>
    </row>
    <row r="4" spans="1:9" x14ac:dyDescent="0.25">
      <c r="A4">
        <v>3</v>
      </c>
      <c r="B4" s="1">
        <v>45005</v>
      </c>
      <c r="C4" t="s">
        <v>11</v>
      </c>
      <c r="D4">
        <v>645</v>
      </c>
      <c r="E4">
        <v>2</v>
      </c>
      <c r="F4">
        <v>100</v>
      </c>
      <c r="G4">
        <f t="shared" si="0"/>
        <v>1390</v>
      </c>
      <c r="H4">
        <f t="shared" si="1"/>
        <v>24</v>
      </c>
      <c r="I4">
        <f t="shared" si="2"/>
        <v>58</v>
      </c>
    </row>
    <row r="5" spans="1:9" x14ac:dyDescent="0.25">
      <c r="A5">
        <v>4</v>
      </c>
      <c r="B5" s="1">
        <v>45033</v>
      </c>
      <c r="C5" t="s">
        <v>10</v>
      </c>
      <c r="D5">
        <v>695</v>
      </c>
      <c r="E5">
        <v>3</v>
      </c>
      <c r="F5">
        <v>102</v>
      </c>
      <c r="G5">
        <f t="shared" si="0"/>
        <v>2187</v>
      </c>
      <c r="H5">
        <f t="shared" si="1"/>
        <v>36</v>
      </c>
      <c r="I5">
        <f t="shared" si="2"/>
        <v>61</v>
      </c>
    </row>
    <row r="6" spans="1:9" x14ac:dyDescent="0.25">
      <c r="A6">
        <v>5</v>
      </c>
      <c r="B6" s="1">
        <v>45068</v>
      </c>
      <c r="C6" t="s">
        <v>10</v>
      </c>
      <c r="D6">
        <v>695</v>
      </c>
      <c r="E6">
        <v>3</v>
      </c>
      <c r="F6">
        <v>100</v>
      </c>
      <c r="G6">
        <f t="shared" si="0"/>
        <v>2185</v>
      </c>
      <c r="H6">
        <f t="shared" si="1"/>
        <v>36</v>
      </c>
      <c r="I6">
        <f t="shared" si="2"/>
        <v>61</v>
      </c>
    </row>
    <row r="7" spans="1:9" x14ac:dyDescent="0.25">
      <c r="A7">
        <v>6</v>
      </c>
      <c r="B7" s="1">
        <v>45089</v>
      </c>
      <c r="C7" t="s">
        <v>10</v>
      </c>
      <c r="D7">
        <v>715</v>
      </c>
      <c r="E7">
        <v>3</v>
      </c>
      <c r="F7">
        <v>100</v>
      </c>
      <c r="G7">
        <f t="shared" si="0"/>
        <v>2245</v>
      </c>
      <c r="H7">
        <f t="shared" si="1"/>
        <v>36</v>
      </c>
      <c r="I7">
        <f t="shared" si="2"/>
        <v>63</v>
      </c>
    </row>
    <row r="8" spans="1:9" x14ac:dyDescent="0.25">
      <c r="A8">
        <v>7</v>
      </c>
      <c r="B8" s="1">
        <v>45106</v>
      </c>
      <c r="C8" t="s">
        <v>10</v>
      </c>
      <c r="D8">
        <v>715</v>
      </c>
      <c r="E8">
        <v>4</v>
      </c>
      <c r="F8">
        <v>100</v>
      </c>
      <c r="G8">
        <f t="shared" si="0"/>
        <v>2960</v>
      </c>
      <c r="H8">
        <f t="shared" si="1"/>
        <v>48</v>
      </c>
      <c r="I8">
        <f t="shared" si="2"/>
        <v>62</v>
      </c>
    </row>
    <row r="9" spans="1:9" x14ac:dyDescent="0.25">
      <c r="A9">
        <v>8</v>
      </c>
      <c r="B9" s="1">
        <v>45121</v>
      </c>
      <c r="C9" t="s">
        <v>10</v>
      </c>
      <c r="D9">
        <v>710</v>
      </c>
      <c r="E9">
        <v>2</v>
      </c>
      <c r="F9">
        <v>100</v>
      </c>
      <c r="G9">
        <f t="shared" si="0"/>
        <v>1520</v>
      </c>
      <c r="H9">
        <f t="shared" si="1"/>
        <v>24</v>
      </c>
      <c r="I9">
        <f t="shared" si="2"/>
        <v>64</v>
      </c>
    </row>
    <row r="10" spans="1:9" x14ac:dyDescent="0.25">
      <c r="A10">
        <v>9</v>
      </c>
      <c r="B10" s="1">
        <v>45134</v>
      </c>
      <c r="C10" t="s">
        <v>10</v>
      </c>
      <c r="D10">
        <v>710</v>
      </c>
      <c r="E10">
        <v>6</v>
      </c>
      <c r="F10">
        <v>0</v>
      </c>
      <c r="G10">
        <f t="shared" si="0"/>
        <v>4260</v>
      </c>
      <c r="H10">
        <f t="shared" si="1"/>
        <v>72</v>
      </c>
      <c r="I10">
        <f t="shared" si="2"/>
        <v>60</v>
      </c>
    </row>
    <row r="11" spans="1:9" x14ac:dyDescent="0.25">
      <c r="A11">
        <v>10</v>
      </c>
      <c r="B11" s="1">
        <v>45139</v>
      </c>
      <c r="C11" t="s">
        <v>10</v>
      </c>
      <c r="D11">
        <v>710</v>
      </c>
      <c r="E11">
        <v>5</v>
      </c>
      <c r="F11">
        <v>0</v>
      </c>
      <c r="G11">
        <f t="shared" si="0"/>
        <v>3550</v>
      </c>
      <c r="H11">
        <f t="shared" si="1"/>
        <v>60</v>
      </c>
      <c r="I11">
        <f t="shared" si="2"/>
        <v>60</v>
      </c>
    </row>
    <row r="12" spans="1:9" x14ac:dyDescent="0.25">
      <c r="A12">
        <v>11</v>
      </c>
      <c r="B12" s="1">
        <v>45211</v>
      </c>
      <c r="C12" t="s">
        <v>10</v>
      </c>
      <c r="D12">
        <v>710</v>
      </c>
      <c r="E12">
        <v>1</v>
      </c>
      <c r="F12">
        <v>0</v>
      </c>
      <c r="G12">
        <f t="shared" si="0"/>
        <v>710</v>
      </c>
      <c r="H12">
        <f t="shared" si="1"/>
        <v>12</v>
      </c>
      <c r="I12">
        <f t="shared" si="2"/>
        <v>60</v>
      </c>
    </row>
    <row r="13" spans="1:9" x14ac:dyDescent="0.25">
      <c r="A13">
        <v>12</v>
      </c>
      <c r="B13" s="1">
        <v>45239</v>
      </c>
      <c r="C13" t="s">
        <v>10</v>
      </c>
      <c r="D13">
        <v>710</v>
      </c>
      <c r="E13">
        <v>5</v>
      </c>
      <c r="F13">
        <v>87</v>
      </c>
      <c r="G13">
        <f t="shared" si="0"/>
        <v>3637</v>
      </c>
      <c r="H13">
        <f t="shared" si="1"/>
        <v>60</v>
      </c>
      <c r="I13">
        <f t="shared" si="2"/>
        <v>61</v>
      </c>
    </row>
    <row r="14" spans="1:9" x14ac:dyDescent="0.25">
      <c r="A14">
        <v>13</v>
      </c>
      <c r="B14" s="1">
        <v>45269</v>
      </c>
      <c r="C14" t="s">
        <v>10</v>
      </c>
      <c r="D14">
        <v>710</v>
      </c>
      <c r="E14">
        <v>5</v>
      </c>
      <c r="F14">
        <v>0</v>
      </c>
      <c r="G14">
        <f t="shared" ref="G14:G21" si="3">D14*E14+F14</f>
        <v>3550</v>
      </c>
      <c r="H14">
        <f t="shared" ref="H14:H19" si="4">E14*12</f>
        <v>60</v>
      </c>
      <c r="I14">
        <f t="shared" ref="I14:I19" si="5">ROUNDUP(G14/H14,0)</f>
        <v>60</v>
      </c>
    </row>
    <row r="15" spans="1:9" x14ac:dyDescent="0.25">
      <c r="A15">
        <v>14</v>
      </c>
      <c r="B15" s="1">
        <v>45341</v>
      </c>
      <c r="C15" t="s">
        <v>12</v>
      </c>
      <c r="D15">
        <v>670</v>
      </c>
      <c r="E15">
        <v>4</v>
      </c>
      <c r="F15">
        <v>100</v>
      </c>
      <c r="G15">
        <f t="shared" si="3"/>
        <v>2780</v>
      </c>
      <c r="H15">
        <f t="shared" si="4"/>
        <v>48</v>
      </c>
      <c r="I15">
        <f t="shared" si="5"/>
        <v>58</v>
      </c>
    </row>
    <row r="16" spans="1:9" x14ac:dyDescent="0.25">
      <c r="A16">
        <v>15</v>
      </c>
      <c r="B16" s="1">
        <v>45370</v>
      </c>
      <c r="C16" t="s">
        <v>12</v>
      </c>
      <c r="D16">
        <v>670</v>
      </c>
      <c r="E16">
        <v>5</v>
      </c>
      <c r="F16">
        <v>99</v>
      </c>
      <c r="G16">
        <f t="shared" si="3"/>
        <v>3449</v>
      </c>
      <c r="H16">
        <f t="shared" si="4"/>
        <v>60</v>
      </c>
      <c r="I16">
        <f t="shared" si="5"/>
        <v>58</v>
      </c>
    </row>
    <row r="17" spans="1:9" x14ac:dyDescent="0.25">
      <c r="A17">
        <v>16</v>
      </c>
      <c r="B17" s="1">
        <v>45528</v>
      </c>
      <c r="C17" t="s">
        <v>13</v>
      </c>
      <c r="D17">
        <v>600</v>
      </c>
      <c r="E17">
        <v>6</v>
      </c>
      <c r="F17">
        <v>0</v>
      </c>
      <c r="G17">
        <f t="shared" si="3"/>
        <v>3600</v>
      </c>
      <c r="H17">
        <f t="shared" si="4"/>
        <v>72</v>
      </c>
      <c r="I17">
        <f t="shared" si="5"/>
        <v>50</v>
      </c>
    </row>
    <row r="18" spans="1:9" x14ac:dyDescent="0.25">
      <c r="A18">
        <v>17</v>
      </c>
      <c r="B18" s="1">
        <v>45600</v>
      </c>
      <c r="C18" t="s">
        <v>13</v>
      </c>
      <c r="D18">
        <v>600</v>
      </c>
      <c r="E18">
        <v>2</v>
      </c>
      <c r="F18">
        <v>0</v>
      </c>
      <c r="G18">
        <f t="shared" si="3"/>
        <v>1200</v>
      </c>
      <c r="H18">
        <f t="shared" si="4"/>
        <v>24</v>
      </c>
      <c r="I18">
        <f t="shared" si="5"/>
        <v>50</v>
      </c>
    </row>
    <row r="19" spans="1:9" x14ac:dyDescent="0.25">
      <c r="A19">
        <v>18</v>
      </c>
      <c r="B19" s="1">
        <v>45627</v>
      </c>
      <c r="C19" t="s">
        <v>13</v>
      </c>
      <c r="D19">
        <v>600</v>
      </c>
      <c r="E19">
        <v>2</v>
      </c>
      <c r="F19">
        <v>0</v>
      </c>
      <c r="G19">
        <f t="shared" si="3"/>
        <v>1200</v>
      </c>
      <c r="H19">
        <f t="shared" si="4"/>
        <v>24</v>
      </c>
      <c r="I19">
        <f t="shared" si="5"/>
        <v>50</v>
      </c>
    </row>
    <row r="20" spans="1:9" x14ac:dyDescent="0.25">
      <c r="A20">
        <v>19</v>
      </c>
      <c r="B20" s="1">
        <v>45658</v>
      </c>
      <c r="C20" t="s">
        <v>14</v>
      </c>
      <c r="D20">
        <v>810</v>
      </c>
      <c r="E20">
        <v>10</v>
      </c>
      <c r="F20">
        <v>0</v>
      </c>
      <c r="G20">
        <f t="shared" si="3"/>
        <v>8100</v>
      </c>
      <c r="H20">
        <f t="shared" ref="H20:H21" si="6">E20*12</f>
        <v>120</v>
      </c>
      <c r="I20">
        <f t="shared" ref="I20:I21" si="7">ROUNDUP(G20/H20,0)</f>
        <v>68</v>
      </c>
    </row>
    <row r="21" spans="1:9" x14ac:dyDescent="0.25">
      <c r="A21">
        <v>20</v>
      </c>
      <c r="B21" s="1">
        <v>45962</v>
      </c>
      <c r="C21" t="s">
        <v>15</v>
      </c>
      <c r="D21">
        <v>720</v>
      </c>
      <c r="E21">
        <v>2</v>
      </c>
      <c r="F21">
        <v>0</v>
      </c>
      <c r="G21">
        <f t="shared" si="3"/>
        <v>1440</v>
      </c>
      <c r="H21">
        <f t="shared" si="6"/>
        <v>24</v>
      </c>
      <c r="I21">
        <f t="shared" si="7"/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C2286-E88C-46CC-BC19-F5D9EFC4153F}">
  <dimension ref="A2:I2"/>
  <sheetViews>
    <sheetView workbookViewId="0">
      <selection activeCell="D13" sqref="D13"/>
    </sheetView>
  </sheetViews>
  <sheetFormatPr defaultRowHeight="15" x14ac:dyDescent="0.25"/>
  <sheetData>
    <row r="2" spans="1:9" x14ac:dyDescent="0.25">
      <c r="A2">
        <v>19</v>
      </c>
      <c r="B2" s="1">
        <v>45670</v>
      </c>
      <c r="C2" t="s">
        <v>14</v>
      </c>
      <c r="D2">
        <v>825</v>
      </c>
      <c r="E2">
        <v>10</v>
      </c>
      <c r="F2">
        <v>0</v>
      </c>
      <c r="G2">
        <f t="shared" ref="G2" si="0">D2*E2+F2</f>
        <v>8250</v>
      </c>
      <c r="H2">
        <f t="shared" ref="H2" si="1">E2*12</f>
        <v>120</v>
      </c>
      <c r="I2">
        <f t="shared" ref="I2" si="2">ROUNDUP(G2/H2,0)</f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shuttlecock_buy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Pannawit</cp:lastModifiedBy>
  <dcterms:created xsi:type="dcterms:W3CDTF">2023-06-15T16:14:27Z</dcterms:created>
  <dcterms:modified xsi:type="dcterms:W3CDTF">2025-11-02T16:48:24Z</dcterms:modified>
</cp:coreProperties>
</file>